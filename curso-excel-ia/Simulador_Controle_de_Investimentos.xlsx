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yelle\Desktop\PROJETOS\Excel com IA (DIO)\"/>
    </mc:Choice>
  </mc:AlternateContent>
  <xr:revisionPtr revIDLastSave="0" documentId="13_ncr:1_{0B24E9F0-23E8-4A6F-A120-6ED3344B7AB7}" xr6:coauthVersionLast="47" xr6:coauthVersionMax="47" xr10:uidLastSave="{00000000-0000-0000-0000-000000000000}"/>
  <bookViews>
    <workbookView xWindow="16320" yWindow="690" windowWidth="22305" windowHeight="13260" xr2:uid="{04DDDEF9-4DE4-4C2A-A070-ACB86790D072}"/>
  </bookViews>
  <sheets>
    <sheet name="APP" sheetId="1" r:id="rId1"/>
    <sheet name="Planilha2" sheetId="2" r:id="rId2"/>
  </sheets>
  <definedNames>
    <definedName name="aporte">APP!$D$19</definedName>
    <definedName name="patrimonio">APP!$D$22</definedName>
    <definedName name="qtd_anos">APP!$D$20</definedName>
    <definedName name="rendimento_carteira">APP!$D$15</definedName>
    <definedName name="salario">APP!$D$14</definedName>
    <definedName name="sugestao_investimento">APP!$D$16</definedName>
    <definedName name="taxa_mensal">APP!$D$21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" i="1" l="1"/>
  <c r="D42" i="1" s="1"/>
  <c r="C41" i="1"/>
  <c r="C40" i="1"/>
  <c r="D40" i="1" s="1"/>
  <c r="C39" i="1"/>
  <c r="D39" i="1" s="1"/>
  <c r="C38" i="1"/>
  <c r="D38" i="1" s="1"/>
  <c r="C37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D22" i="1"/>
  <c r="D23" i="1" s="1"/>
  <c r="D16" i="1"/>
  <c r="C27" i="1"/>
  <c r="D27" i="1" s="1"/>
  <c r="C28" i="1"/>
  <c r="D28" i="1" s="1"/>
  <c r="C29" i="1"/>
  <c r="D29" i="1" s="1"/>
  <c r="C30" i="1"/>
  <c r="D30" i="1" s="1"/>
  <c r="C26" i="1"/>
  <c r="D26" i="1" s="1"/>
  <c r="D41" i="1" l="1"/>
  <c r="D37" i="1"/>
  <c r="D43" i="1" s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<sst xmlns="http://schemas.openxmlformats.org/spreadsheetml/2006/main" count="70" uniqueCount="34">
  <si>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</si>
  <si>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</si>
  <si>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Qual a taxa de redimento mensal?</t>
  </si>
  <si>
    <t>Quanto de Patrimônio acumulado terei?</t>
  </si>
  <si>
    <t>Quantos Dividendos Mensais?</t>
  </si>
  <si>
    <t>INVESTIMENTO MENSAL</t>
  </si>
  <si>
    <t>Quanto em 2 anos?</t>
  </si>
  <si>
    <t>Quanto em 5 anos?</t>
  </si>
  <si>
    <t>Quanto em 10 anos?</t>
  </si>
  <si>
    <t>Quanto em 20 anos?</t>
  </si>
  <si>
    <t>CENÁRIOS</t>
  </si>
  <si>
    <t>Quanto em 30 anos?</t>
  </si>
  <si>
    <t>Dividendo</t>
  </si>
  <si>
    <t>Salário</t>
  </si>
  <si>
    <t>Rendimento Carteira</t>
  </si>
  <si>
    <t>Sugestão de Investimento</t>
  </si>
  <si>
    <t>CONFIGURAÇÕES</t>
  </si>
  <si>
    <t>Conservador</t>
  </si>
  <si>
    <t>Moderado</t>
  </si>
  <si>
    <t>Agressivo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</si>
  <si>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</si>
  <si>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</si>
  <si>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</si>
  <si>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</si>
  <si>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</si>
  <si>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</si>
  <si>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</si>
  <si>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</si>
  <si>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</si>
  <si>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</si>
  <si>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</si>
  <si>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 xml:space="preserve"> 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</si>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</sst>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2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8"/>
      <color theme="0"/>
      <name val="Segoe UI"/>
      <family val="2"/>
    </font>
    <font>
      <b/>
      <sz val="20"/>
      <color theme="0"/>
      <name val="Segoe UI"/>
      <family val="2"/>
    </font>
    <font>
      <b/>
      <sz val="14"/>
      <color theme="0"/>
      <name val="Segoe UI"/>
      <family val="2"/>
    </font>
    <font>
      <sz val="12"/>
      <color theme="1"/>
      <name val="Segoe UI Semilight"/>
      <family val="2"/>
    </font>
    <font>
      <sz val="11"/>
      <color theme="1"/>
      <name val="Segoe UI Semilight"/>
      <family val="2"/>
    </font>
    <font>
      <b/>
      <sz val="11"/>
      <color theme="1"/>
      <name val="Segoe UI Semilight"/>
      <family val="2"/>
    </font>
    <font>
      <b/>
      <sz val="12"/>
      <color theme="1"/>
      <name val="Segoe UI Semi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0" fillId="0" borderId="0" xfId="0" applyBorder="1"/>
    <xf numFmtId="0" fontId="5" fillId="0" borderId="0" xfId="0" applyFont="1"/>
    <xf numFmtId="0" fontId="0" fillId="0" borderId="0" xfId="0" applyAlignment="1">
      <alignment horizontal="center"/>
    </xf>
    <xf numFmtId="0" fontId="6" fillId="3" borderId="3" xfId="0" applyFont="1" applyFill="1" applyBorder="1" applyAlignment="1">
      <alignment vertical="center"/>
    </xf>
    <xf numFmtId="9" fontId="0" fillId="0" borderId="0" xfId="0" applyNumberFormat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3"/>
    </xf>
    <xf numFmtId="0" fontId="9" fillId="3" borderId="2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 indent="3"/>
    </xf>
    <xf numFmtId="0" fontId="10" fillId="0" borderId="15" xfId="0" applyFont="1" applyBorder="1" applyAlignment="1">
      <alignment horizontal="left" vertical="center" indent="3"/>
    </xf>
    <xf numFmtId="0" fontId="10" fillId="4" borderId="23" xfId="0" applyFont="1" applyFill="1" applyBorder="1" applyAlignment="1">
      <alignment horizontal="left" indent="3"/>
    </xf>
    <xf numFmtId="0" fontId="10" fillId="4" borderId="24" xfId="0" applyFont="1" applyFill="1" applyBorder="1" applyAlignment="1">
      <alignment horizontal="left" indent="3"/>
    </xf>
    <xf numFmtId="0" fontId="10" fillId="4" borderId="18" xfId="0" applyFont="1" applyFill="1" applyBorder="1" applyAlignment="1">
      <alignment horizontal="left" indent="3"/>
    </xf>
    <xf numFmtId="0" fontId="10" fillId="4" borderId="15" xfId="0" applyFont="1" applyFill="1" applyBorder="1" applyAlignment="1">
      <alignment horizontal="left" indent="3"/>
    </xf>
    <xf numFmtId="0" fontId="10" fillId="4" borderId="20" xfId="0" applyFont="1" applyFill="1" applyBorder="1" applyAlignment="1">
      <alignment horizontal="left" indent="3"/>
    </xf>
    <xf numFmtId="0" fontId="10" fillId="4" borderId="21" xfId="0" applyFont="1" applyFill="1" applyBorder="1" applyAlignment="1">
      <alignment horizontal="left" indent="3"/>
    </xf>
    <xf numFmtId="0" fontId="10" fillId="0" borderId="16" xfId="0" applyFont="1" applyBorder="1" applyAlignment="1">
      <alignment horizontal="left" vertical="center" indent="3"/>
    </xf>
    <xf numFmtId="0" fontId="10" fillId="0" borderId="14" xfId="0" applyFont="1" applyBorder="1" applyAlignment="1">
      <alignment horizontal="left" vertical="center" indent="3"/>
    </xf>
    <xf numFmtId="172" fontId="12" fillId="0" borderId="17" xfId="1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0" fontId="12" fillId="0" borderId="19" xfId="0" applyNumberFormat="1" applyFont="1" applyBorder="1" applyAlignment="1">
      <alignment horizontal="center"/>
    </xf>
    <xf numFmtId="0" fontId="13" fillId="4" borderId="18" xfId="0" applyFont="1" applyFill="1" applyBorder="1" applyAlignment="1">
      <alignment horizontal="left" vertical="center" indent="3"/>
    </xf>
    <xf numFmtId="0" fontId="13" fillId="4" borderId="15" xfId="0" applyFont="1" applyFill="1" applyBorder="1" applyAlignment="1">
      <alignment horizontal="left" vertical="center" indent="3"/>
    </xf>
    <xf numFmtId="8" fontId="12" fillId="4" borderId="19" xfId="0" applyNumberFormat="1" applyFont="1" applyFill="1" applyBorder="1" applyAlignment="1">
      <alignment horizontal="center"/>
    </xf>
    <xf numFmtId="0" fontId="13" fillId="4" borderId="20" xfId="0" applyFont="1" applyFill="1" applyBorder="1" applyAlignment="1">
      <alignment horizontal="left" vertical="center" indent="3"/>
    </xf>
    <xf numFmtId="0" fontId="13" fillId="4" borderId="21" xfId="0" applyFont="1" applyFill="1" applyBorder="1" applyAlignment="1">
      <alignment horizontal="left" vertical="center" indent="3"/>
    </xf>
    <xf numFmtId="8" fontId="12" fillId="4" borderId="22" xfId="0" applyNumberFormat="1" applyFont="1" applyFill="1" applyBorder="1" applyAlignment="1">
      <alignment horizontal="center"/>
    </xf>
    <xf numFmtId="0" fontId="10" fillId="4" borderId="5" xfId="0" applyFont="1" applyFill="1" applyBorder="1" applyAlignment="1">
      <alignment horizontal="left" indent="3"/>
    </xf>
    <xf numFmtId="8" fontId="11" fillId="4" borderId="11" xfId="0" applyNumberFormat="1" applyFont="1" applyFill="1" applyBorder="1" applyAlignment="1">
      <alignment horizontal="center"/>
    </xf>
    <xf numFmtId="8" fontId="11" fillId="4" borderId="6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indent="3"/>
    </xf>
    <xf numFmtId="8" fontId="11" fillId="4" borderId="12" xfId="0" applyNumberFormat="1" applyFont="1" applyFill="1" applyBorder="1" applyAlignment="1">
      <alignment horizontal="center"/>
    </xf>
    <xf numFmtId="8" fontId="11" fillId="4" borderId="8" xfId="0" applyNumberFormat="1" applyFont="1" applyFill="1" applyBorder="1" applyAlignment="1">
      <alignment horizontal="center"/>
    </xf>
    <xf numFmtId="0" fontId="10" fillId="4" borderId="9" xfId="0" applyFont="1" applyFill="1" applyBorder="1" applyAlignment="1">
      <alignment horizontal="left" indent="3"/>
    </xf>
    <xf numFmtId="8" fontId="11" fillId="4" borderId="13" xfId="0" applyNumberFormat="1" applyFont="1" applyFill="1" applyBorder="1" applyAlignment="1">
      <alignment horizontal="center"/>
    </xf>
    <xf numFmtId="8" fontId="11" fillId="4" borderId="10" xfId="0" applyNumberFormat="1" applyFont="1" applyFill="1" applyBorder="1" applyAlignment="1">
      <alignment horizontal="center"/>
    </xf>
    <xf numFmtId="172" fontId="11" fillId="6" borderId="25" xfId="0" applyNumberFormat="1" applyFont="1" applyFill="1" applyBorder="1" applyAlignment="1">
      <alignment horizontal="center"/>
    </xf>
    <xf numFmtId="9" fontId="11" fillId="6" borderId="19" xfId="0" applyNumberFormat="1" applyFont="1" applyFill="1" applyBorder="1" applyAlignment="1">
      <alignment horizontal="center"/>
    </xf>
    <xf numFmtId="172" fontId="11" fillId="6" borderId="22" xfId="0" applyNumberFormat="1" applyFont="1" applyFill="1" applyBorder="1" applyAlignment="1">
      <alignment horizontal="center"/>
    </xf>
    <xf numFmtId="0" fontId="2" fillId="2" borderId="0" xfId="2" applyBorder="1" applyAlignment="1">
      <alignment horizontal="left" indent="3"/>
    </xf>
    <xf numFmtId="0" fontId="2" fillId="2" borderId="0" xfId="2"/>
    <xf numFmtId="0" fontId="0" fillId="4" borderId="0" xfId="0" applyFill="1"/>
    <xf numFmtId="172" fontId="0" fillId="4" borderId="0" xfId="0" applyNumberFormat="1" applyFill="1"/>
    <xf numFmtId="0" fontId="2" fillId="2" borderId="0" xfId="2" applyAlignment="1">
      <alignment horizontal="center"/>
    </xf>
    <xf numFmtId="0" fontId="4" fillId="4" borderId="0" xfId="0" applyFont="1" applyFill="1" applyAlignment="1">
      <alignment horizontal="left" indent="3"/>
    </xf>
    <xf numFmtId="172" fontId="4" fillId="4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5" fillId="7" borderId="0" xfId="0" applyFont="1" applyFill="1"/>
    <xf numFmtId="172" fontId="3" fillId="7" borderId="0" xfId="0" applyNumberFormat="1" applyFont="1" applyFill="1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0662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APP!$C$37:$C$42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A-467D-A6F9-682DCE0C4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198965</xdr:colOff>
      <xdr:row>0</xdr:row>
      <xdr:rowOff>107950</xdr:rowOff>
    </xdr:from>
    <xdr:to>
      <xdr:col>5</xdr:col>
      <xdr:colOff>201084</xdr:colOff>
      <xdr:row>9</xdr:row>
      <xdr:rowOff>170295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03A13D1-41E9-431B-9268-0E3C908AE04D}"/>
            </a:ext>
          </a:extLst>
        </xdr:cNvPr>
        <xdr:cNvSpPr/>
      </xdr:nvSpPr>
      <xdr:spPr>
        <a:xfrm>
          <a:off x="198965" y="107950"/>
          <a:ext cx="10426702" cy="1776845"/>
        </a:xfrm>
        <a:prstGeom prst="roundRect">
          <a:avLst/>
        </a:prstGeom>
        <a:solidFill>
          <a:srgbClr val="066243"/>
        </a:solidFill>
        <a:ln w="28575"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6000">
              <a:latin typeface="Modern No. 20" panose="02070704070505020303" pitchFamily="18" charset="0"/>
            </a:rPr>
            <a:t>CASH INVEST</a:t>
          </a:r>
        </a:p>
      </xdr:txBody>
    </xdr:sp>
    <xdr:clientData/>
  </xdr:twoCellAnchor>
  <xdr:twoCellAnchor editAs="oneCell">
    <xdr:from>
      <xdr:col>1</xdr:col>
      <xdr:colOff>785814</xdr:colOff>
      <xdr:row>2</xdr:row>
      <xdr:rowOff>130969</xdr:rowOff>
    </xdr:from>
    <xdr:to>
      <xdr:col>1</xdr:col>
      <xdr:colOff>1700214</xdr:colOff>
      <xdr:row>7</xdr:row>
      <xdr:rowOff>92869</xdr:rowOff>
    </xdr:to>
    <xdr:pic>
      <xdr:nvPicPr>
        <xdr:cNvPr id="4" name="Gráfico 3" descr="Moedas com preenchimento sólido">
          <a:extLst>
            <a:ext uri="{FF2B5EF4-FFF2-40B4-BE49-F238E27FC236}">
              <a16:creationId xmlns:a16="http://schemas.microsoft.com/office/drawing/2014/main" id="{7A5D1EC3-41AB-4400-8D5B-753EFA03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43002" y="511969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1083468</xdr:colOff>
      <xdr:row>45</xdr:row>
      <xdr:rowOff>158352</xdr:rowOff>
    </xdr:from>
    <xdr:to>
      <xdr:col>3</xdr:col>
      <xdr:colOff>23812</xdr:colOff>
      <xdr:row>62</xdr:row>
      <xdr:rowOff>166687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EE21A65-430D-4CE9-99D3-C3D7947C9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8EA9-AC90-45A4-A150-D6B88482995B}">
  <dimension ref="A6:O83"/>
  <sheetViews>
    <sheetView showGridLines="0" showRowColHeaders="0" tabSelected="1" zoomScale="80" zoomScaleNormal="80" workbookViewId="0">
      <selection activeCell="D43" sqref="D43"/>
    </sheetView>
  </sheetViews>
  <sheetFormatPr defaultColWidth="0" defaultRowHeight="15" x14ac:dyDescent="0.25"/>
  <cols>
    <col min="1" max="1" width="5.28515625" customWidth="1"/>
    <col min="2" max="2" width="75.42578125" customWidth="1"/>
    <col min="3" max="3" width="28.7109375" customWidth="1"/>
    <col min="4" max="4" width="19.85546875" bestFit="1" customWidth="1"/>
    <col min="5" max="6" width="4.5703125" customWidth="1"/>
    <col min="7" max="8" width="4.5703125" hidden="1" customWidth="1"/>
    <col min="9" max="11" width="4.5703125" hidden="1"/>
    <col min="16" max="16384" width="4.5703125" hidden="1"/>
  </cols>
  <sheetData>
    <row r="6" spans="2:15" x14ac:dyDescent="0.25">
      <c r="O6" s="1"/>
    </row>
    <row r="12" spans="2:15" ht="15.75" thickBot="1" x14ac:dyDescent="0.3"/>
    <row r="13" spans="2:15" ht="27" thickBot="1" x14ac:dyDescent="0.3">
      <c r="B13" s="6" t="s">
        <v>16</v>
      </c>
      <c r="C13" s="7"/>
      <c r="D13" s="8"/>
    </row>
    <row r="14" spans="2:15" ht="20.25" customHeight="1" x14ac:dyDescent="0.3">
      <c r="B14" s="16" t="s">
        <v>13</v>
      </c>
      <c r="C14" s="17"/>
      <c r="D14" s="42">
        <v>5000</v>
      </c>
    </row>
    <row r="15" spans="2:15" ht="20.25" customHeight="1" x14ac:dyDescent="0.3">
      <c r="B15" s="18" t="s">
        <v>14</v>
      </c>
      <c r="C15" s="19"/>
      <c r="D15" s="43">
        <v>0.01</v>
      </c>
    </row>
    <row r="16" spans="2:15" ht="20.25" customHeight="1" thickBot="1" x14ac:dyDescent="0.35">
      <c r="B16" s="20" t="s">
        <v>15</v>
      </c>
      <c r="C16" s="21"/>
      <c r="D16" s="44">
        <f>D14*30%</f>
        <v>1500</v>
      </c>
    </row>
    <row r="17" spans="1:15" ht="15.75" thickBot="1" x14ac:dyDescent="0.3"/>
    <row r="18" spans="1:15" ht="39.75" customHeight="1" x14ac:dyDescent="0.25">
      <c r="B18" s="9" t="s">
        <v>5</v>
      </c>
      <c r="C18" s="10"/>
      <c r="D18" s="11"/>
      <c r="O18" s="1"/>
    </row>
    <row r="19" spans="1:15" ht="20.25" customHeight="1" x14ac:dyDescent="0.3">
      <c r="B19" s="22" t="s">
        <v>0</v>
      </c>
      <c r="C19" s="23"/>
      <c r="D19" s="24">
        <v>500</v>
      </c>
    </row>
    <row r="20" spans="1:15" ht="20.25" customHeight="1" x14ac:dyDescent="0.3">
      <c r="B20" s="14" t="s">
        <v>1</v>
      </c>
      <c r="C20" s="15"/>
      <c r="D20" s="25">
        <v>5</v>
      </c>
      <c r="I20" s="1"/>
      <c r="J20" s="1"/>
      <c r="K20" s="1"/>
      <c r="L20" s="1"/>
      <c r="M20" s="1"/>
    </row>
    <row r="21" spans="1:15" ht="20.25" customHeight="1" x14ac:dyDescent="0.3">
      <c r="B21" s="14" t="s">
        <v>2</v>
      </c>
      <c r="C21" s="15"/>
      <c r="D21" s="26">
        <v>1.0789999999999999E-2</v>
      </c>
      <c r="I21" s="1"/>
      <c r="J21" s="1"/>
      <c r="K21" s="1"/>
      <c r="L21" s="1"/>
      <c r="M21" s="1"/>
    </row>
    <row r="22" spans="1:15" ht="20.25" customHeight="1" x14ac:dyDescent="0.3">
      <c r="B22" s="27" t="s">
        <v>3</v>
      </c>
      <c r="C22" s="28"/>
      <c r="D22" s="29">
        <f>FV(taxa_mensal,qtd_anos*12,aporte*-1)</f>
        <v>41888.456999243819</v>
      </c>
      <c r="G22" s="1"/>
      <c r="I22" s="1"/>
      <c r="J22" s="1"/>
      <c r="K22" s="1"/>
      <c r="L22" s="1"/>
      <c r="M22" s="1"/>
    </row>
    <row r="23" spans="1:15" ht="20.25" customHeight="1" thickBot="1" x14ac:dyDescent="0.35">
      <c r="B23" s="30" t="s">
        <v>4</v>
      </c>
      <c r="C23" s="31"/>
      <c r="D23" s="32">
        <f>patrimonio*rendimento_carteira</f>
        <v>418.88456999243817</v>
      </c>
      <c r="I23" s="1"/>
      <c r="J23" s="1"/>
      <c r="K23" s="1"/>
      <c r="L23" s="1"/>
      <c r="M23" s="1"/>
    </row>
    <row r="24" spans="1:15" ht="15.75" thickBot="1" x14ac:dyDescent="0.3"/>
    <row r="25" spans="1:15" ht="30.75" x14ac:dyDescent="0.25">
      <c r="B25" s="12" t="s">
        <v>10</v>
      </c>
      <c r="C25" s="4"/>
      <c r="D25" s="13" t="s">
        <v>12</v>
      </c>
    </row>
    <row r="26" spans="1:15" ht="20.25" customHeight="1" x14ac:dyDescent="0.3">
      <c r="A26" s="2">
        <v>2</v>
      </c>
      <c r="B26" s="33" t="s">
        <v>6</v>
      </c>
      <c r="C26" s="34">
        <f>FV($D$21,$A26*12,$D$19*-1)</f>
        <v>13613.813648822608</v>
      </c>
      <c r="D26" s="35">
        <f>C26*rendimento_carteira</f>
        <v>136.13813648822608</v>
      </c>
    </row>
    <row r="27" spans="1:15" ht="20.25" customHeight="1" x14ac:dyDescent="0.3">
      <c r="A27" s="2">
        <v>5</v>
      </c>
      <c r="B27" s="36" t="s">
        <v>7</v>
      </c>
      <c r="C27" s="37">
        <f>FV($D$21,$A27*12,$D$19*-1)</f>
        <v>41888.456999243819</v>
      </c>
      <c r="D27" s="38">
        <f>C27*rendimento_carteira</f>
        <v>418.88456999243817</v>
      </c>
    </row>
    <row r="28" spans="1:15" ht="20.25" customHeight="1" x14ac:dyDescent="0.3">
      <c r="A28" s="2">
        <v>10</v>
      </c>
      <c r="B28" s="36" t="s">
        <v>8</v>
      </c>
      <c r="C28" s="37">
        <f>FV($D$21,$A28*12,$D$19*-1)</f>
        <v>121642.1062650861</v>
      </c>
      <c r="D28" s="38">
        <f>C28*rendimento_carteira</f>
        <v>1216.4210626508609</v>
      </c>
    </row>
    <row r="29" spans="1:15" ht="20.25" customHeight="1" x14ac:dyDescent="0.3">
      <c r="A29" s="2">
        <v>20</v>
      </c>
      <c r="B29" s="36" t="s">
        <v>9</v>
      </c>
      <c r="C29" s="37">
        <f>FV($D$21,$A29*12,$D$19*-1)</f>
        <v>562599.20004854025</v>
      </c>
      <c r="D29" s="38">
        <f>C29*rendimento_carteira</f>
        <v>5625.992000485403</v>
      </c>
    </row>
    <row r="30" spans="1:15" ht="20.25" customHeight="1" thickBot="1" x14ac:dyDescent="0.35">
      <c r="A30" s="2">
        <v>30</v>
      </c>
      <c r="B30" s="39" t="s">
        <v>11</v>
      </c>
      <c r="C30" s="40">
        <f>FV($D$21,$A30*12,$D$19*-1)</f>
        <v>2161084.8275023573</v>
      </c>
      <c r="D30" s="41">
        <f>C30*rendimento_carteira</f>
        <v>21610.848275023574</v>
      </c>
    </row>
    <row r="33" spans="2:4" x14ac:dyDescent="0.25">
      <c r="B33" s="45" t="s">
        <v>20</v>
      </c>
      <c r="C33" s="49" t="s">
        <v>18</v>
      </c>
      <c r="D33" s="46"/>
    </row>
    <row r="34" spans="2:4" x14ac:dyDescent="0.25">
      <c r="B34" s="50" t="s">
        <v>21</v>
      </c>
      <c r="C34" s="51">
        <v>500</v>
      </c>
      <c r="D34" s="47"/>
    </row>
    <row r="36" spans="2:4" x14ac:dyDescent="0.25">
      <c r="B36" s="52" t="s">
        <v>22</v>
      </c>
      <c r="C36" s="52" t="s">
        <v>23</v>
      </c>
      <c r="D36" s="52" t="s">
        <v>24</v>
      </c>
    </row>
    <row r="37" spans="2:4" x14ac:dyDescent="0.25">
      <c r="B37" s="3" t="s">
        <v>25</v>
      </c>
      <c r="C37" s="5">
        <f>VLOOKUP($C$33&amp;"-"&amp;B37,Planilha2!$A:$D,4,FALSE)</f>
        <v>0.32</v>
      </c>
      <c r="D37" s="48">
        <f>C37*$C$34</f>
        <v>160</v>
      </c>
    </row>
    <row r="38" spans="2:4" x14ac:dyDescent="0.25">
      <c r="B38" s="3" t="s">
        <v>26</v>
      </c>
      <c r="C38" s="5">
        <f>VLOOKUP($C$33&amp;"-"&amp;B38,Planilha2!$A:$D,4,FALSE)</f>
        <v>0.35</v>
      </c>
      <c r="D38" s="48">
        <f t="shared" ref="D38:D42" si="0">C38*$C$34</f>
        <v>175</v>
      </c>
    </row>
    <row r="39" spans="2:4" x14ac:dyDescent="0.25">
      <c r="B39" s="3" t="s">
        <v>27</v>
      </c>
      <c r="C39" s="5">
        <f>VLOOKUP($C$33&amp;"-"&amp;B39,Planilha2!$A:$D,4,FALSE)</f>
        <v>0.08</v>
      </c>
      <c r="D39" s="48">
        <f t="shared" si="0"/>
        <v>40</v>
      </c>
    </row>
    <row r="40" spans="2:4" x14ac:dyDescent="0.25">
      <c r="B40" s="3" t="s">
        <v>28</v>
      </c>
      <c r="C40" s="5">
        <f>VLOOKUP($C$33&amp;"-"&amp;B40,Planilha2!$A:$D,4,FALSE)</f>
        <v>0.05</v>
      </c>
      <c r="D40" s="48">
        <f t="shared" si="0"/>
        <v>25</v>
      </c>
    </row>
    <row r="41" spans="2:4" x14ac:dyDescent="0.25">
      <c r="B41" s="3" t="s">
        <v>29</v>
      </c>
      <c r="C41" s="5">
        <f>VLOOKUP($C$33&amp;"-"&amp;B41,Planilha2!$A:$D,4,FALSE)</f>
        <v>0.1</v>
      </c>
      <c r="D41" s="48">
        <f t="shared" si="0"/>
        <v>50</v>
      </c>
    </row>
    <row r="42" spans="2:4" x14ac:dyDescent="0.25">
      <c r="B42" s="3" t="s">
        <v>30</v>
      </c>
      <c r="C42" s="5">
        <f>VLOOKUP($C$33&amp;"-"&amp;B42,Planilha2!$A:$D,4,FALSE)</f>
        <v>0.1</v>
      </c>
      <c r="D42" s="48">
        <f t="shared" si="0"/>
        <v>50</v>
      </c>
    </row>
    <row r="43" spans="2:4" x14ac:dyDescent="0.25">
      <c r="B43" s="53"/>
      <c r="C43" s="53"/>
      <c r="D43" s="54">
        <f>SUM(D37:D42)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0">
    <mergeCell ref="B23:C23"/>
    <mergeCell ref="B18:D18"/>
    <mergeCell ref="B14:C14"/>
    <mergeCell ref="B15:C15"/>
    <mergeCell ref="B16:C16"/>
    <mergeCell ref="B13:D13"/>
    <mergeCell ref="B19:C19"/>
    <mergeCell ref="B20:C20"/>
    <mergeCell ref="B21:C21"/>
    <mergeCell ref="B22:C22"/>
  </mergeCells>
  <dataValidations count="1">
    <dataValidation type="list" allowBlank="1" showInputMessage="1" showErrorMessage="1" sqref="C33" xr:uid="{02C75C9D-26FC-43EC-8927-3D2EB63ACEA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98D2-95DC-4302-990B-A3DCAA9F3B89}">
  <dimension ref="A2:F20"/>
  <sheetViews>
    <sheetView workbookViewId="0">
      <selection activeCell="F13" sqref="F13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20.7109375" customWidth="1"/>
  </cols>
  <sheetData>
    <row r="2" spans="1:6" x14ac:dyDescent="0.25">
      <c r="A2" t="s">
        <v>33</v>
      </c>
      <c r="B2" s="3" t="s">
        <v>20</v>
      </c>
      <c r="C2" s="3" t="s">
        <v>22</v>
      </c>
      <c r="D2" s="3" t="s">
        <v>32</v>
      </c>
    </row>
    <row r="3" spans="1:6" x14ac:dyDescent="0.25">
      <c r="A3" t="str">
        <f>B3&amp;"-"&amp;C3</f>
        <v>Conservador-PAPEL</v>
      </c>
      <c r="B3" s="3" t="s">
        <v>17</v>
      </c>
      <c r="C3" s="3" t="s">
        <v>25</v>
      </c>
      <c r="D3" s="5">
        <v>0.3</v>
      </c>
    </row>
    <row r="4" spans="1:6" x14ac:dyDescent="0.25">
      <c r="A4" t="str">
        <f t="shared" ref="A4:A20" si="0">B4&amp;"-"&amp;C4</f>
        <v>Conservador-TIJOLO</v>
      </c>
      <c r="B4" s="3" t="s">
        <v>17</v>
      </c>
      <c r="C4" s="3" t="s">
        <v>26</v>
      </c>
      <c r="D4" s="5">
        <v>0.5</v>
      </c>
    </row>
    <row r="5" spans="1:6" x14ac:dyDescent="0.25">
      <c r="A5" t="str">
        <f t="shared" si="0"/>
        <v>Conservador-HÍBRIDOS</v>
      </c>
      <c r="B5" s="3" t="s">
        <v>17</v>
      </c>
      <c r="C5" s="3" t="s">
        <v>27</v>
      </c>
      <c r="D5" s="5">
        <v>0.1</v>
      </c>
      <c r="F5" t="s">
        <v>31</v>
      </c>
    </row>
    <row r="6" spans="1:6" x14ac:dyDescent="0.25">
      <c r="A6" t="str">
        <f t="shared" si="0"/>
        <v>Conservador-FOFs</v>
      </c>
      <c r="B6" s="3" t="s">
        <v>17</v>
      </c>
      <c r="C6" s="3" t="s">
        <v>28</v>
      </c>
      <c r="D6" s="5">
        <v>0.1</v>
      </c>
    </row>
    <row r="7" spans="1:6" x14ac:dyDescent="0.25">
      <c r="A7" t="str">
        <f t="shared" si="0"/>
        <v>Conservador-DESENVOLVIMENTO</v>
      </c>
      <c r="B7" s="3" t="s">
        <v>17</v>
      </c>
      <c r="C7" s="3" t="s">
        <v>29</v>
      </c>
      <c r="D7" s="5">
        <v>0</v>
      </c>
    </row>
    <row r="8" spans="1:6" ht="15.75" thickBot="1" x14ac:dyDescent="0.3">
      <c r="A8" s="55" t="str">
        <f t="shared" si="0"/>
        <v>Conservador-HOTELARIAS</v>
      </c>
      <c r="B8" s="56" t="s">
        <v>17</v>
      </c>
      <c r="C8" s="56" t="s">
        <v>30</v>
      </c>
      <c r="D8" s="57">
        <v>0</v>
      </c>
    </row>
    <row r="9" spans="1:6" x14ac:dyDescent="0.25">
      <c r="A9" t="str">
        <f t="shared" si="0"/>
        <v>Moderado-PAPEL</v>
      </c>
      <c r="B9" t="s">
        <v>18</v>
      </c>
      <c r="C9" s="3" t="s">
        <v>25</v>
      </c>
      <c r="D9" s="5">
        <v>0.32</v>
      </c>
    </row>
    <row r="10" spans="1:6" x14ac:dyDescent="0.25">
      <c r="A10" t="str">
        <f t="shared" si="0"/>
        <v>Moderado-TIJOLO</v>
      </c>
      <c r="B10" t="s">
        <v>18</v>
      </c>
      <c r="C10" s="3" t="s">
        <v>26</v>
      </c>
      <c r="D10" s="5">
        <v>0.35</v>
      </c>
    </row>
    <row r="11" spans="1:6" x14ac:dyDescent="0.25">
      <c r="A11" t="str">
        <f t="shared" si="0"/>
        <v>Moderado-HÍBRIDOS</v>
      </c>
      <c r="B11" t="s">
        <v>18</v>
      </c>
      <c r="C11" s="3" t="s">
        <v>27</v>
      </c>
      <c r="D11" s="5">
        <v>0.08</v>
      </c>
    </row>
    <row r="12" spans="1:6" x14ac:dyDescent="0.25">
      <c r="A12" t="str">
        <f t="shared" si="0"/>
        <v>Moderado-FOFs</v>
      </c>
      <c r="B12" t="s">
        <v>18</v>
      </c>
      <c r="C12" s="3" t="s">
        <v>28</v>
      </c>
      <c r="D12" s="5">
        <v>0.05</v>
      </c>
    </row>
    <row r="13" spans="1:6" x14ac:dyDescent="0.25">
      <c r="A13" t="str">
        <f t="shared" si="0"/>
        <v>Moderado-DESENVOLVIMENTO</v>
      </c>
      <c r="B13" t="s">
        <v>18</v>
      </c>
      <c r="C13" s="3" t="s">
        <v>29</v>
      </c>
      <c r="D13" s="5">
        <v>0.1</v>
      </c>
    </row>
    <row r="14" spans="1:6" ht="15.75" thickBot="1" x14ac:dyDescent="0.3">
      <c r="A14" s="55" t="str">
        <f t="shared" si="0"/>
        <v>Moderado-HOTELARIAS</v>
      </c>
      <c r="B14" s="55" t="s">
        <v>18</v>
      </c>
      <c r="C14" s="56" t="s">
        <v>30</v>
      </c>
      <c r="D14" s="57">
        <v>0.1</v>
      </c>
    </row>
    <row r="15" spans="1:6" x14ac:dyDescent="0.25">
      <c r="A15" t="str">
        <f t="shared" si="0"/>
        <v>Agressivo-PAPEL</v>
      </c>
      <c r="B15" t="s">
        <v>19</v>
      </c>
      <c r="C15" s="3" t="s">
        <v>25</v>
      </c>
      <c r="D15" s="5">
        <v>0.5</v>
      </c>
    </row>
    <row r="16" spans="1:6" x14ac:dyDescent="0.25">
      <c r="A16" t="str">
        <f t="shared" si="0"/>
        <v>Agressivo-TIJOLO</v>
      </c>
      <c r="B16" t="s">
        <v>19</v>
      </c>
      <c r="C16" s="3" t="s">
        <v>26</v>
      </c>
      <c r="D16" s="5">
        <v>0.1</v>
      </c>
    </row>
    <row r="17" spans="1:4" x14ac:dyDescent="0.25">
      <c r="A17" t="str">
        <f t="shared" si="0"/>
        <v>Agressivo-HÍBRIDOS</v>
      </c>
      <c r="B17" t="s">
        <v>19</v>
      </c>
      <c r="C17" s="3" t="s">
        <v>27</v>
      </c>
      <c r="D17" s="5">
        <v>0.05</v>
      </c>
    </row>
    <row r="18" spans="1:4" x14ac:dyDescent="0.25">
      <c r="A18" t="str">
        <f t="shared" si="0"/>
        <v>Agressivo-FOFs</v>
      </c>
      <c r="B18" t="s">
        <v>19</v>
      </c>
      <c r="C18" s="3" t="s">
        <v>28</v>
      </c>
      <c r="D18" s="5">
        <v>0.05</v>
      </c>
    </row>
    <row r="19" spans="1:4" x14ac:dyDescent="0.25">
      <c r="A19" t="str">
        <f t="shared" si="0"/>
        <v>Agressivo-DESENVOLVIMENTO</v>
      </c>
      <c r="B19" t="s">
        <v>19</v>
      </c>
      <c r="C19" s="3" t="s">
        <v>29</v>
      </c>
      <c r="D19" s="5">
        <v>0.2</v>
      </c>
    </row>
    <row r="20" spans="1:4" x14ac:dyDescent="0.25">
      <c r="A20" t="str">
        <f t="shared" si="0"/>
        <v>Agressivo-HOTELARIAS</v>
      </c>
      <c r="B20" t="s">
        <v>19</v>
      </c>
      <c r="C20" s="3" t="s">
        <v>30</v>
      </c>
      <c r="D20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Oliveira</dc:creator>
  <cp:lastModifiedBy>Júlia Oliveira</cp:lastModifiedBy>
  <dcterms:created xsi:type="dcterms:W3CDTF">2026-01-21T17:44:43Z</dcterms:created>
  <dcterms:modified xsi:type="dcterms:W3CDTF">2026-01-21T21:17:57Z</dcterms:modified>
</cp:coreProperties>
</file>